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ACC" sheetId="2" state="visible" r:id="rId4"/>
    <sheet name="DCF" sheetId="3" state="visible" r:id="rId5"/>
    <sheet name="Com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Source: ~10Y US Treasury yield, early 2026.</t>
        </r>
      </text>
    </comment>
    <comment ref="C5" authorId="0">
      <text>
        <r>
          <rPr>
            <sz val="10"/>
            <rFont val="Arial"/>
            <family val="2"/>
          </rPr>
          <t xml:space="preserve">Source: NFLX 5y levered beta, ~1.2.</t>
        </r>
      </text>
    </comment>
    <comment ref="C6" authorId="0">
      <text>
        <r>
          <rPr>
            <sz val="10"/>
            <rFont val="Arial"/>
            <family val="2"/>
          </rPr>
          <t xml:space="preserve">Market standard 5.0-6.0%.</t>
        </r>
      </text>
    </comment>
    <comment ref="C10" authorId="0">
      <text>
        <r>
          <rPr>
            <sz val="10"/>
            <rFont val="Arial"/>
            <family val="2"/>
          </rPr>
          <t xml:space="preserve">Approx. yield on NFLX notes.</t>
        </r>
      </text>
    </comment>
    <comment ref="C11" authorId="0">
      <text>
        <r>
          <rPr>
            <sz val="10"/>
            <rFont val="Arial"/>
            <family val="2"/>
          </rPr>
          <t xml:space="preserve">US statutory; NFLX effective rate has run lower.</t>
        </r>
      </text>
    </comment>
    <comment ref="C15" authorId="0">
      <text>
        <r>
          <rPr>
            <sz val="10"/>
            <rFont val="Arial"/>
            <family val="2"/>
          </rPr>
          <t xml:space="preserve">REFRESH to live quote. Post 10:1 split (Nov-2025) reference.</t>
        </r>
      </text>
    </comment>
    <comment ref="C16" authorId="0">
      <text>
        <r>
          <rPr>
            <sz val="10"/>
            <rFont val="Arial"/>
            <family val="2"/>
          </rPr>
          <t xml:space="preserve">Post 10:1 split, ~4.22bn.</t>
        </r>
      </text>
    </comment>
    <comment ref="C18" authorId="0">
      <text>
        <r>
          <rPr>
            <sz val="10"/>
            <rFont val="Arial"/>
            <family val="2"/>
          </rPr>
          <t xml:space="preserve">Source: NFLX FY2025 balance sheet.</t>
        </r>
      </text>
    </comment>
    <comment ref="C19" authorId="0">
      <text>
        <r>
          <rPr>
            <sz val="10"/>
            <rFont val="Arial"/>
            <family val="2"/>
          </rPr>
          <t xml:space="preserve">Source: NFLX FY2025 balance sheet.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Source: Netflix FY2025 shareholder letter, Jan-2026.</t>
        </r>
      </text>
    </comment>
    <comment ref="C21" authorId="0">
      <text>
        <r>
          <rPr>
            <sz val="10"/>
            <rFont val="Arial"/>
            <family val="2"/>
          </rPr>
          <t xml:space="preserve">Higher risk premium in bear case.</t>
        </r>
      </text>
    </comment>
    <comment ref="C23" authorId="0">
      <text>
        <r>
          <rPr>
            <sz val="10"/>
            <rFont val="Arial"/>
            <family val="2"/>
          </rPr>
          <t xml:space="preserve">Lower cost of capital as NFLX de-risks.</t>
        </r>
      </text>
    </comment>
    <comment ref="D22" authorId="0">
      <text>
        <r>
          <rPr>
            <sz val="10"/>
            <rFont val="Arial"/>
            <family val="2"/>
          </rPr>
          <t xml:space="preserve">GDP-aligned; must be &lt; WACC.</t>
        </r>
      </text>
    </comment>
    <comment ref="D25" authorId="0">
      <text>
        <r>
          <rPr>
            <sz val="10"/>
            <rFont val="Arial"/>
            <family val="2"/>
          </rPr>
          <t xml:space="preserve">Mid-year convention: t-0.5.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Source: NFLX FY2025 operating income.</t>
        </r>
      </text>
    </comment>
    <comment ref="D4" authorId="0">
      <text>
        <r>
          <rPr>
            <sz val="10"/>
            <rFont val="Arial"/>
            <family val="2"/>
          </rPr>
          <t xml:space="preserve">Estimate: content + PP&amp;E amortisation (dominated by content).</t>
        </r>
      </text>
    </comment>
    <comment ref="F4" authorId="0">
      <text>
        <r>
          <rPr>
            <sz val="10"/>
            <rFont val="Arial"/>
            <family val="2"/>
          </rPr>
          <t xml:space="preserve">Source: NFLX FY2025 net income.</t>
        </r>
      </text>
    </comment>
  </commentList>
</comments>
</file>

<file path=xl/sharedStrings.xml><?xml version="1.0" encoding="utf-8"?>
<sst xmlns="http://schemas.openxmlformats.org/spreadsheetml/2006/main" count="169" uniqueCount="110">
  <si>
    <t xml:space="preserve">Netflix, Inc. (NFLX) — Valuation Summary</t>
  </si>
  <si>
    <t xml:space="preserve">DCF (FCF-margin) + comparable companies · base year FY2025</t>
  </si>
  <si>
    <t xml:space="preserve">Reference price ($)</t>
  </si>
  <si>
    <t xml:space="preserve">WACC (base case)</t>
  </si>
  <si>
    <t xml:space="preserve">Intrinsic value per share</t>
  </si>
  <si>
    <t xml:space="preserve">Bear case</t>
  </si>
  <si>
    <t xml:space="preserve">Base case</t>
  </si>
  <si>
    <t xml:space="preserve">Bull case</t>
  </si>
  <si>
    <t xml:space="preserve">Comps (average)</t>
  </si>
  <si>
    <t xml:space="preserve">Cross-checks</t>
  </si>
  <si>
    <t xml:space="preserve">Base-case enterprise value ($mm)</t>
  </si>
  <si>
    <t xml:space="preserve">Terminal value % of EV (base)</t>
  </si>
  <si>
    <t xml:space="preserve">Valuation range (football field)</t>
  </si>
  <si>
    <t xml:space="preserve">Bear</t>
  </si>
  <si>
    <t xml:space="preserve">Comps</t>
  </si>
  <si>
    <t xml:space="preserve">Base</t>
  </si>
  <si>
    <t xml:space="preserve">Bull</t>
  </si>
  <si>
    <t xml:space="preserve">Key caveats</t>
  </si>
  <si>
    <t xml:space="preserve">Standalone Netflix — the pending all-cash Warner Bros. acquisition (Dec-2025)</t>
  </si>
  <si>
    <t xml:space="preserve">is NOT modelled and would change debt, shares and the growth profile.</t>
  </si>
  <si>
    <t xml:space="preserve">Peer multiples are illustrative placeholders; refresh before citing.</t>
  </si>
  <si>
    <t xml:space="preserve">Share price is a post-split reference (10:1, Nov-2025) — update to live quote.</t>
  </si>
  <si>
    <t xml:space="preserve">Educational / portfolio use only. Not investment advice.</t>
  </si>
  <si>
    <t xml:space="preserve">WACC — Cost of Capital</t>
  </si>
  <si>
    <t xml:space="preserve">Cost of equity (CAPM)</t>
  </si>
  <si>
    <t xml:space="preserve">Risk-free rate (10Y UST)</t>
  </si>
  <si>
    <t xml:space="preserve">Beta (5y)</t>
  </si>
  <si>
    <t xml:space="preserve">Equity risk premium</t>
  </si>
  <si>
    <t xml:space="preserve">Cost of equity</t>
  </si>
  <si>
    <t xml:space="preserve">Cost of debt</t>
  </si>
  <si>
    <t xml:space="preserve">Pre-tax cost of debt</t>
  </si>
  <si>
    <t xml:space="preserve">Tax rate</t>
  </si>
  <si>
    <t xml:space="preserve">After-tax cost of debt</t>
  </si>
  <si>
    <t xml:space="preserve">Capital structure</t>
  </si>
  <si>
    <t xml:space="preserve">Share price ($)</t>
  </si>
  <si>
    <t xml:space="preserve">Shares outstanding (mm)</t>
  </si>
  <si>
    <t xml:space="preserve">Market capitalisation ($mm)</t>
  </si>
  <si>
    <t xml:space="preserve">Total debt ($mm)</t>
  </si>
  <si>
    <t xml:space="preserve">Cash &amp; equivalents ($mm)</t>
  </si>
  <si>
    <t xml:space="preserve">Net debt ($mm)</t>
  </si>
  <si>
    <t xml:space="preserve">Equity weight</t>
  </si>
  <si>
    <t xml:space="preserve">Debt weight</t>
  </si>
  <si>
    <t xml:space="preserve">WACC</t>
  </si>
  <si>
    <t xml:space="preserve">Netflix, Inc. (NFLX) — DCF Model</t>
  </si>
  <si>
    <t xml:space="preserve">FCF-margin method · 5-year explicit forecast · mid-year convention · $mm</t>
  </si>
  <si>
    <t xml:space="preserve">Assumptions</t>
  </si>
  <si>
    <t xml:space="preserve">Base-year revenue FY2025 ($mm)</t>
  </si>
  <si>
    <t xml:space="preserve">Revenue growth by case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</si>
  <si>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</si>
  <si>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</si>
  <si>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</si>
  <si>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</si>
  <si>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</si>
  <si>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FCF margin by case (% of revenue)</t>
  </si>
  <si>
    <t xml:space="preserve">Discount rate &amp; terminal growth by case</t>
  </si>
  <si>
    <t xml:space="preserve">Terminal g</t>
  </si>
  <si>
    <t xml:space="preserve">Discount period (mid-year)</t>
  </si>
  <si>
    <t xml:space="preserve">BEAR CASE</t>
  </si>
  <si>
    <t xml:space="preserve">Revenue ($mm)</t>
  </si>
  <si>
    <t xml:space="preserve">Free cash flow ($mm)</t>
  </si>
  <si>
    <t xml:space="preserve">Discount factor</t>
  </si>
  <si>
    <t xml:space="preserve">PV of FCF ($mm)</t>
  </si>
  <si>
    <t xml:space="preserve">Sum PV of explicit FCF</t>
  </si>
  <si>
    <t xml:space="preserve">Terminal value (Gordon)</t>
  </si>
  <si>
    <t xml:space="preserve">PV of terminal value</t>
  </si>
  <si>
    <t xml:space="preserve">Enterprise value</t>
  </si>
  <si>
    <t xml:space="preserve">Less: net debt  →  Equity value</t>
  </si>
  <si>
    <t xml:space="preserve">Value per share ($)</t>
  </si>
  <si>
    <t xml:space="preserve">Upside / (downside) vs price</t>
  </si>
  <si>
    <t xml:space="preserve">BASE CASE</t>
  </si>
  <si>
    <t xml:space="preserve">BULL CASE</t>
  </si>
  <si>
    <t xml:space="preserve">Sensitivity — base-case value/share: WACC (down) × terminal g (across)</t>
  </si>
  <si>
    <t xml:space="preserve">WACC ↓ / g →</t>
  </si>
  <si>
    <t xml:space="preserve">Sensitivity — value/share: flat revenue growth (down) × flat FCF margin (across)</t>
  </si>
  <si>
    <t xml:space="preserve">growth ↓ / margin →</t>
  </si>
  <si>
    <t xml:space="preserve">Note: flat-rate table holds WACC &amp; terminal g at base; centre cell of the top table equals the base case.</t>
  </si>
  <si>
    <t xml:space="preserve">Comparable Company Analysis</t>
  </si>
  <si>
    <t xml:space="preserve">Peer multiples are ILLUSTRATIVE placeholders — refresh before citing. $mm.</t>
  </si>
  <si>
    <t xml:space="preserve">Ticker</t>
  </si>
  <si>
    <t xml:space="preserve">Revenue</t>
  </si>
  <si>
    <t xml:space="preserve">EBIT</t>
  </si>
  <si>
    <t xml:space="preserve">D&amp;A</t>
  </si>
  <si>
    <t xml:space="preserve">EBITDA</t>
  </si>
  <si>
    <t xml:space="preserve">Net inc.</t>
  </si>
  <si>
    <t xml:space="preserve">Price</t>
  </si>
  <si>
    <t xml:space="preserve">Shares</t>
  </si>
  <si>
    <t xml:space="preserve">Debt</t>
  </si>
  <si>
    <t xml:space="preserve">Cash</t>
  </si>
  <si>
    <t xml:space="preserve">Mkt cap</t>
  </si>
  <si>
    <t xml:space="preserve">EV</t>
  </si>
  <si>
    <t xml:space="preserve">EV/Sales</t>
  </si>
  <si>
    <t xml:space="preserve">EV/EBITDA</t>
  </si>
  <si>
    <t xml:space="preserve">EV/EBIT</t>
  </si>
  <si>
    <t xml:space="preserve">P/E</t>
  </si>
  <si>
    <t xml:space="preserve">NFLX</t>
  </si>
  <si>
    <t xml:space="preserve">CMCSA</t>
  </si>
  <si>
    <t xml:space="preserve">DIS</t>
  </si>
  <si>
    <t xml:space="preserve">PSKY</t>
  </si>
  <si>
    <t xml:space="preserve">SPOT</t>
  </si>
  <si>
    <t xml:space="preserve">WBD</t>
  </si>
  <si>
    <t xml:space="preserve">Peer median (excl. NFLX)</t>
  </si>
  <si>
    <t xml:space="preserve">Implied value — Netflix</t>
  </si>
  <si>
    <t xml:space="preserve">Method</t>
  </si>
  <si>
    <t xml:space="preserve">Peer median</t>
  </si>
  <si>
    <t xml:space="preserve">NFLX metric</t>
  </si>
  <si>
    <t xml:space="preserve">Implied EV</t>
  </si>
  <si>
    <t xml:space="preserve">Implied equity</t>
  </si>
  <si>
    <t xml:space="preserve">Value/share</t>
  </si>
  <si>
    <t xml:space="preserve">—</t>
  </si>
  <si>
    <t xml:space="preserve">Average implied value/share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</si>
</sst>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0.0%"/>
    <numFmt numFmtId="167" formatCode="#,##0;\(#,##0\);\-"/>
    <numFmt numFmtId="168" formatCode="0.00"/>
    <numFmt numFmtId="169" formatCode="0.0"/>
    <numFmt numFmtId="170" formatCode="0.000"/>
    <numFmt numFmtId="171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9D9D9"/>
      </patternFill>
    </fill>
    <fill>
      <patternFill patternType="solid">
        <fgColor rgb="FFFFF2CC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5E7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per share ($) vs reference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Summary!$A$18:$A$21</c:f>
              <c:strCache>
                <c:ptCount val="4"/>
                <c:pt idx="0">
                  <c:v>Bear</c:v>
                </c:pt>
                <c:pt idx="1">
                  <c:v>Comps</c:v>
                </c:pt>
                <c:pt idx="2">
                  <c:v>Base</c:v>
                </c:pt>
                <c:pt idx="3">
                  <c:v>Bull</c:v>
                </c:pt>
              </c:strCache>
            </c:strRef>
          </c:cat>
          <c:val>
            <c:numRef>
              <c:f>Summary!$C$18:$C$21</c:f>
              <c:numCache>
                <c:formatCode>\$#,##0.00</c:formatCode>
                <c:ptCount val="4"/>
                <c:pt idx="0">
                  <c:v>35.2346715104092</c:v>
                </c:pt>
                <c:pt idx="1">
                  <c:v>49.8563737240248</c:v>
                </c:pt>
                <c:pt idx="2">
                  <c:v>52.3508751342655</c:v>
                </c:pt>
                <c:pt idx="3">
                  <c:v>115.218616674486</c:v>
                </c:pt>
              </c:numCache>
            </c:numRef>
          </c:val>
        </c:ser>
        <c:gapWidth val="150"/>
        <c:overlap val="0"/>
        <c:axId val="70181888"/>
        <c:axId val="25020535"/>
      </c:barChart>
      <c:catAx>
        <c:axId val="701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20535"/>
        <c:crosses val="autoZero"/>
        <c:auto val="1"/>
        <c:lblAlgn val="ctr"/>
        <c:lblOffset val="100"/>
        <c:noMultiLvlLbl val="0"/>
      </c:catAx>
      <c:valAx>
        <c:axId val="25020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818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176040</xdr:rowOff>
    </xdr:from>
    <xdr:to>
      <xdr:col>11</xdr:col>
      <xdr:colOff>39240</xdr:colOff>
      <xdr:row>17</xdr:row>
      <xdr:rowOff>49680</xdr:rowOff>
    </xdr:to>
    <xdr:graphicFrame>
      <xdr:nvGraphicFramePr>
        <xdr:cNvPr id="0" name="Chart 1"/>
        <xdr:cNvGraphicFramePr/>
      </xdr:nvGraphicFramePr>
      <xdr:xfrm>
        <a:off x="3994920" y="1143000"/>
        <a:ext cx="43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C4" s="5" t="n">
        <f aca="false">WACC!C15</f>
        <v>110</v>
      </c>
    </row>
    <row r="5" customFormat="false" ht="15" hidden="false" customHeight="false" outlineLevel="0" collapsed="false">
      <c r="A5" s="4" t="s">
        <v>3</v>
      </c>
      <c r="C5" s="6" t="n">
        <f aca="false">WACC!C24</f>
        <v>0.108192032534174</v>
      </c>
    </row>
    <row r="7" customFormat="false" ht="15" hidden="false" customHeight="false" outlineLevel="0" collapsed="false">
      <c r="A7" s="7" t="s">
        <v>4</v>
      </c>
      <c r="B7" s="8"/>
      <c r="C7" s="8"/>
    </row>
    <row r="8" customFormat="false" ht="15" hidden="false" customHeight="false" outlineLevel="0" collapsed="false">
      <c r="A8" s="4" t="s">
        <v>5</v>
      </c>
      <c r="C8" s="5" t="n">
        <f aca="false">DCF!C38</f>
        <v>35.2346715104092</v>
      </c>
    </row>
    <row r="9" customFormat="false" ht="15" hidden="false" customHeight="false" outlineLevel="0" collapsed="false">
      <c r="A9" s="4" t="s">
        <v>6</v>
      </c>
      <c r="C9" s="9" t="n">
        <f aca="false">DCF!C52</f>
        <v>52.3508751342655</v>
      </c>
    </row>
    <row r="10" customFormat="false" ht="15" hidden="false" customHeight="false" outlineLevel="0" collapsed="false">
      <c r="A10" s="4" t="s">
        <v>7</v>
      </c>
      <c r="C10" s="5" t="n">
        <f aca="false">DCF!C66</f>
        <v>115.218616674486</v>
      </c>
    </row>
    <row r="11" customFormat="false" ht="15" hidden="false" customHeight="false" outlineLevel="0" collapsed="false">
      <c r="A11" s="4" t="s">
        <v>8</v>
      </c>
      <c r="C11" s="5" t="n">
        <f aca="false">Comps!F19</f>
        <v>49.8563737240248</v>
      </c>
    </row>
    <row r="13" customFormat="false" ht="15" hidden="false" customHeight="false" outlineLevel="0" collapsed="false">
      <c r="A13" s="7" t="s">
        <v>9</v>
      </c>
      <c r="B13" s="8"/>
      <c r="C13" s="8"/>
    </row>
    <row r="14" customFormat="false" ht="15" hidden="false" customHeight="false" outlineLevel="0" collapsed="false">
      <c r="A14" s="4" t="s">
        <v>10</v>
      </c>
      <c r="C14" s="10" t="n">
        <f aca="false">DCF!C50</f>
        <v>226380.6930666</v>
      </c>
    </row>
    <row r="15" customFormat="false" ht="15" hidden="false" customHeight="false" outlineLevel="0" collapsed="false">
      <c r="A15" s="4" t="s">
        <v>11</v>
      </c>
      <c r="C15" s="6" t="n">
        <f aca="false">DCF!C49/DCF!C50</f>
        <v>0.739394571057653</v>
      </c>
    </row>
    <row r="17" customFormat="false" ht="15" hidden="false" customHeight="false" outlineLevel="0" collapsed="false">
      <c r="A17" s="7" t="s">
        <v>12</v>
      </c>
      <c r="B17" s="8"/>
      <c r="C17" s="8"/>
    </row>
    <row r="18" customFormat="false" ht="15" hidden="false" customHeight="false" outlineLevel="0" collapsed="false">
      <c r="A18" s="4" t="s">
        <v>13</v>
      </c>
      <c r="C18" s="5" t="n">
        <f aca="false">C8</f>
        <v>35.2346715104092</v>
      </c>
    </row>
    <row r="19" customFormat="false" ht="15" hidden="false" customHeight="false" outlineLevel="0" collapsed="false">
      <c r="A19" s="4" t="s">
        <v>14</v>
      </c>
      <c r="C19" s="5" t="n">
        <f aca="false">C11</f>
        <v>49.8563737240248</v>
      </c>
    </row>
    <row r="20" customFormat="false" ht="15" hidden="false" customHeight="false" outlineLevel="0" collapsed="false">
      <c r="A20" s="4" t="s">
        <v>15</v>
      </c>
      <c r="C20" s="5" t="n">
        <f aca="false">C9</f>
        <v>52.3508751342655</v>
      </c>
    </row>
    <row r="21" customFormat="false" ht="15" hidden="false" customHeight="false" outlineLevel="0" collapsed="false">
      <c r="A21" s="4" t="s">
        <v>16</v>
      </c>
      <c r="C21" s="5" t="n">
        <f aca="false">C10</f>
        <v>115.218616674486</v>
      </c>
    </row>
    <row r="24" customFormat="false" ht="15" hidden="false" customHeight="false" outlineLevel="0" collapsed="false">
      <c r="A24" s="7" t="s">
        <v>17</v>
      </c>
      <c r="B24" s="8"/>
      <c r="C24" s="8"/>
    </row>
    <row r="25" customFormat="false" ht="15" hidden="false" customHeight="false" outlineLevel="0" collapsed="false">
      <c r="A25" s="3" t="s">
        <v>18</v>
      </c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3" t="s">
        <v>21</v>
      </c>
    </row>
    <row r="29" customFormat="false" ht="15" hidden="false" customHeight="false" outlineLevel="0" collapsed="false">
      <c r="A29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23</v>
      </c>
      <c r="B1" s="2"/>
      <c r="C1" s="2"/>
    </row>
    <row r="3" customFormat="false" ht="15" hidden="false" customHeight="false" outlineLevel="0" collapsed="false">
      <c r="A3" s="7" t="s">
        <v>24</v>
      </c>
      <c r="B3" s="8"/>
      <c r="C3" s="8"/>
    </row>
    <row r="4" customFormat="false" ht="15" hidden="false" customHeight="false" outlineLevel="0" collapsed="false">
      <c r="A4" s="4" t="s">
        <v>25</v>
      </c>
      <c r="C4" s="11" t="n">
        <v>0.043</v>
      </c>
    </row>
    <row r="5" customFormat="false" ht="15" hidden="false" customHeight="false" outlineLevel="0" collapsed="false">
      <c r="A5" s="4" t="s">
        <v>26</v>
      </c>
      <c r="C5" s="12" t="n">
        <v>1.2</v>
      </c>
    </row>
    <row r="6" customFormat="false" ht="15" hidden="false" customHeight="false" outlineLevel="0" collapsed="false">
      <c r="A6" s="4" t="s">
        <v>27</v>
      </c>
      <c r="C6" s="11" t="n">
        <v>0.055</v>
      </c>
    </row>
    <row r="7" customFormat="false" ht="15" hidden="false" customHeight="false" outlineLevel="0" collapsed="false">
      <c r="A7" s="4" t="s">
        <v>28</v>
      </c>
      <c r="C7" s="13" t="n">
        <f aca="false">C4+C5*C6</f>
        <v>0.109</v>
      </c>
    </row>
    <row r="9" customFormat="false" ht="15" hidden="false" customHeight="false" outlineLevel="0" collapsed="false">
      <c r="A9" s="7" t="s">
        <v>29</v>
      </c>
      <c r="B9" s="8"/>
      <c r="C9" s="8"/>
    </row>
    <row r="10" customFormat="false" ht="15" hidden="false" customHeight="false" outlineLevel="0" collapsed="false">
      <c r="A10" s="4" t="s">
        <v>30</v>
      </c>
      <c r="C10" s="11" t="n">
        <v>0.05</v>
      </c>
    </row>
    <row r="11" customFormat="false" ht="15" hidden="false" customHeight="false" outlineLevel="0" collapsed="false">
      <c r="A11" s="4" t="s">
        <v>31</v>
      </c>
      <c r="C11" s="11" t="n">
        <v>0.21</v>
      </c>
    </row>
    <row r="12" customFormat="false" ht="15" hidden="false" customHeight="false" outlineLevel="0" collapsed="false">
      <c r="A12" s="4" t="s">
        <v>32</v>
      </c>
      <c r="C12" s="14" t="n">
        <f aca="false">C10*(1-C11)</f>
        <v>0.0395</v>
      </c>
    </row>
    <row r="14" customFormat="false" ht="15" hidden="false" customHeight="false" outlineLevel="0" collapsed="false">
      <c r="A14" s="7" t="s">
        <v>33</v>
      </c>
      <c r="B14" s="8"/>
      <c r="C14" s="8"/>
    </row>
    <row r="15" customFormat="false" ht="15" hidden="false" customHeight="false" outlineLevel="0" collapsed="false">
      <c r="A15" s="4" t="s">
        <v>34</v>
      </c>
      <c r="C15" s="15" t="n">
        <v>110</v>
      </c>
    </row>
    <row r="16" customFormat="false" ht="15" hidden="false" customHeight="false" outlineLevel="0" collapsed="false">
      <c r="A16" s="4" t="s">
        <v>35</v>
      </c>
      <c r="C16" s="16" t="n">
        <v>4220</v>
      </c>
    </row>
    <row r="17" customFormat="false" ht="15" hidden="false" customHeight="false" outlineLevel="0" collapsed="false">
      <c r="A17" s="4" t="s">
        <v>36</v>
      </c>
      <c r="C17" s="17" t="n">
        <f aca="false">C15*C16</f>
        <v>464200</v>
      </c>
    </row>
    <row r="18" customFormat="false" ht="15" hidden="false" customHeight="false" outlineLevel="0" collapsed="false">
      <c r="A18" s="4" t="s">
        <v>37</v>
      </c>
      <c r="C18" s="16" t="n">
        <v>14460</v>
      </c>
    </row>
    <row r="19" customFormat="false" ht="15" hidden="false" customHeight="false" outlineLevel="0" collapsed="false">
      <c r="A19" s="4" t="s">
        <v>38</v>
      </c>
      <c r="C19" s="16" t="n">
        <v>9000</v>
      </c>
    </row>
    <row r="20" customFormat="false" ht="15" hidden="false" customHeight="false" outlineLevel="0" collapsed="false">
      <c r="A20" s="4" t="s">
        <v>39</v>
      </c>
      <c r="C20" s="17" t="n">
        <f aca="false">C18-C19</f>
        <v>5460</v>
      </c>
    </row>
    <row r="21" customFormat="false" ht="15" hidden="false" customHeight="false" outlineLevel="0" collapsed="false">
      <c r="A21" s="4" t="s">
        <v>40</v>
      </c>
      <c r="C21" s="14" t="n">
        <f aca="false">C17/(C17+MAX(C20,0))</f>
        <v>0.988374568837031</v>
      </c>
    </row>
    <row r="22" customFormat="false" ht="15" hidden="false" customHeight="false" outlineLevel="0" collapsed="false">
      <c r="A22" s="4" t="s">
        <v>41</v>
      </c>
      <c r="C22" s="14" t="n">
        <f aca="false">MAX(C20,0)/(C17+MAX(C20,0))</f>
        <v>0.011625431162969</v>
      </c>
    </row>
    <row r="24" customFormat="false" ht="15" hidden="false" customHeight="false" outlineLevel="0" collapsed="false">
      <c r="A24" s="18" t="s">
        <v>42</v>
      </c>
      <c r="C24" s="19" t="n">
        <f aca="false">C7*C21+C12*C22</f>
        <v>0.108192032534174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8" min="3" style="0" width="13"/>
  </cols>
  <sheetData>
    <row r="1" customFormat="false" ht="16.15" hidden="false" customHeight="false" outlineLevel="0" collapsed="false">
      <c r="A1" s="1" t="s">
        <v>43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44</v>
      </c>
    </row>
    <row r="4" customFormat="false" ht="15" hidden="false" customHeight="false" outlineLevel="0" collapsed="false">
      <c r="A4" s="7" t="s">
        <v>45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4" t="s">
        <v>46</v>
      </c>
      <c r="C5" s="16" t="n">
        <v>45183</v>
      </c>
    </row>
    <row r="6" customFormat="false" ht="15" hidden="false" customHeight="false" outlineLevel="0" collapsed="false">
      <c r="A6" s="4" t="s">
        <v>39</v>
      </c>
      <c r="C6" s="10" t="n">
        <f aca="false">WACC!C20</f>
        <v>5460</v>
      </c>
    </row>
    <row r="7" customFormat="false" ht="15" hidden="false" customHeight="false" outlineLevel="0" collapsed="false">
      <c r="A7" s="4" t="s">
        <v>35</v>
      </c>
      <c r="C7" s="10" t="n">
        <f aca="false">WACC!C16</f>
        <v>4220</v>
      </c>
    </row>
    <row r="8" customFormat="false" ht="15" hidden="false" customHeight="false" outlineLevel="0" collapsed="false">
      <c r="A8" s="4" t="s">
        <v>2</v>
      </c>
      <c r="C8" s="5" t="n">
        <f aca="false">WACC!C15</f>
        <v>110</v>
      </c>
    </row>
    <row r="10" customFormat="false" ht="15" hidden="false" customHeight="false" outlineLevel="0" collapsed="false">
      <c r="A10" s="7" t="s">
        <v>47</v>
      </c>
      <c r="B10" s="8"/>
      <c r="C10" s="8"/>
      <c r="D10" s="20" t="s">
        <v>48</v>
      </c>
      <c r="E10" s="20" t="s">
        <v>49</v>
      </c>
      <c r="F10" s="20" t="s">
        <v>50</v>
      </c>
      <c r="G10" s="20" t="s">
        <v>51</v>
      </c>
      <c r="H10" s="20" t="s">
        <v>52</v>
      </c>
    </row>
    <row r="11" customFormat="false" ht="15" hidden="false" customHeight="false" outlineLevel="0" collapsed="false">
      <c r="A11" s="4" t="s">
        <v>13</v>
      </c>
      <c r="D11" s="11" t="n">
        <v>0.1</v>
      </c>
      <c r="E11" s="11" t="n">
        <v>0.09</v>
      </c>
      <c r="F11" s="11" t="n">
        <v>0.08</v>
      </c>
      <c r="G11" s="11" t="n">
        <v>0.07</v>
      </c>
      <c r="H11" s="11" t="n">
        <v>0.06</v>
      </c>
    </row>
    <row r="12" customFormat="false" ht="15" hidden="false" customHeight="false" outlineLevel="0" collapsed="false">
      <c r="A12" s="4" t="s">
        <v>15</v>
      </c>
      <c r="D12" s="11" t="n">
        <v>0.13</v>
      </c>
      <c r="E12" s="11" t="n">
        <v>0.12</v>
      </c>
      <c r="F12" s="11" t="n">
        <v>0.11</v>
      </c>
      <c r="G12" s="11" t="n">
        <v>0.09</v>
      </c>
      <c r="H12" s="11" t="n">
        <v>0.08</v>
      </c>
    </row>
    <row r="13" customFormat="false" ht="15" hidden="false" customHeight="false" outlineLevel="0" collapsed="false">
      <c r="A13" s="4" t="s">
        <v>16</v>
      </c>
      <c r="D13" s="11" t="n">
        <v>0.17</v>
      </c>
      <c r="E13" s="11" t="n">
        <v>0.16</v>
      </c>
      <c r="F13" s="11" t="n">
        <v>0.14</v>
      </c>
      <c r="G13" s="11" t="n">
        <v>0.12</v>
      </c>
      <c r="H13" s="11" t="n">
        <v>0.11</v>
      </c>
    </row>
    <row r="15" customFormat="false" ht="15" hidden="false" customHeight="false" outlineLevel="0" collapsed="false">
      <c r="A15" s="7" t="s">
        <v>53</v>
      </c>
      <c r="B15" s="8"/>
      <c r="C15" s="8"/>
      <c r="D15" s="20" t="s">
        <v>48</v>
      </c>
      <c r="E15" s="20" t="s">
        <v>49</v>
      </c>
      <c r="F15" s="20" t="s">
        <v>50</v>
      </c>
      <c r="G15" s="20" t="s">
        <v>51</v>
      </c>
      <c r="H15" s="20" t="s">
        <v>52</v>
      </c>
    </row>
    <row r="16" customFormat="false" ht="15" hidden="false" customHeight="false" outlineLevel="0" collapsed="false">
      <c r="A16" s="4" t="s">
        <v>13</v>
      </c>
      <c r="D16" s="11" t="n">
        <v>0.2</v>
      </c>
      <c r="E16" s="11" t="n">
        <v>0.21</v>
      </c>
      <c r="F16" s="11" t="n">
        <v>0.22</v>
      </c>
      <c r="G16" s="11" t="n">
        <v>0.22</v>
      </c>
      <c r="H16" s="11" t="n">
        <v>0.23</v>
      </c>
    </row>
    <row r="17" customFormat="false" ht="15" hidden="false" customHeight="false" outlineLevel="0" collapsed="false">
      <c r="A17" s="4" t="s">
        <v>15</v>
      </c>
      <c r="D17" s="11" t="n">
        <v>0.21</v>
      </c>
      <c r="E17" s="11" t="n">
        <v>0.23</v>
      </c>
      <c r="F17" s="11" t="n">
        <v>0.25</v>
      </c>
      <c r="G17" s="11" t="n">
        <v>0.26</v>
      </c>
      <c r="H17" s="11" t="n">
        <v>0.27</v>
      </c>
    </row>
    <row r="18" customFormat="false" ht="15" hidden="false" customHeight="false" outlineLevel="0" collapsed="false">
      <c r="A18" s="4" t="s">
        <v>16</v>
      </c>
      <c r="D18" s="11" t="n">
        <v>0.23</v>
      </c>
      <c r="E18" s="11" t="n">
        <v>0.26</v>
      </c>
      <c r="F18" s="11" t="n">
        <v>0.29</v>
      </c>
      <c r="G18" s="11" t="n">
        <v>0.31</v>
      </c>
      <c r="H18" s="11" t="n">
        <v>0.33</v>
      </c>
    </row>
    <row r="20" customFormat="false" ht="15" hidden="false" customHeight="false" outlineLevel="0" collapsed="false">
      <c r="A20" s="7" t="s">
        <v>54</v>
      </c>
      <c r="B20" s="8"/>
      <c r="C20" s="20" t="s">
        <v>42</v>
      </c>
      <c r="D20" s="20" t="s">
        <v>55</v>
      </c>
      <c r="E20" s="8"/>
      <c r="F20" s="8"/>
      <c r="G20" s="8"/>
      <c r="H20" s="8"/>
    </row>
    <row r="21" customFormat="false" ht="15" hidden="false" customHeight="false" outlineLevel="0" collapsed="false">
      <c r="A21" s="4" t="s">
        <v>13</v>
      </c>
      <c r="C21" s="11" t="n">
        <v>0.115</v>
      </c>
      <c r="D21" s="11" t="n">
        <v>0.025</v>
      </c>
    </row>
    <row r="22" customFormat="false" ht="15" hidden="false" customHeight="false" outlineLevel="0" collapsed="false">
      <c r="A22" s="4" t="s">
        <v>15</v>
      </c>
      <c r="C22" s="6" t="n">
        <f aca="false">WACC!C24</f>
        <v>0.108192032534174</v>
      </c>
      <c r="D22" s="11" t="n">
        <v>0.03</v>
      </c>
    </row>
    <row r="23" customFormat="false" ht="15" hidden="false" customHeight="false" outlineLevel="0" collapsed="false">
      <c r="A23" s="4" t="s">
        <v>16</v>
      </c>
      <c r="C23" s="11" t="n">
        <v>0.085</v>
      </c>
      <c r="D23" s="11" t="n">
        <v>0.035</v>
      </c>
    </row>
    <row r="25" customFormat="false" ht="15" hidden="false" customHeight="false" outlineLevel="0" collapsed="false">
      <c r="A25" s="4" t="s">
        <v>56</v>
      </c>
      <c r="D25" s="21" t="n">
        <v>0.5</v>
      </c>
      <c r="E25" s="22" t="n">
        <f aca="false">D25+1</f>
        <v>1.5</v>
      </c>
      <c r="F25" s="22" t="n">
        <f aca="false">E25+1</f>
        <v>2.5</v>
      </c>
      <c r="G25" s="22" t="n">
        <f aca="false">F25+1</f>
        <v>3.5</v>
      </c>
      <c r="H25" s="22" t="n">
        <f aca="false">G25+1</f>
        <v>4.5</v>
      </c>
    </row>
    <row r="27" customFormat="false" ht="15" hidden="false" customHeight="false" outlineLevel="0" collapsed="false">
      <c r="A27" s="23" t="s">
        <v>57</v>
      </c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D28" s="24" t="s">
        <v>48</v>
      </c>
      <c r="E28" s="24" t="s">
        <v>49</v>
      </c>
      <c r="F28" s="24" t="s">
        <v>50</v>
      </c>
      <c r="G28" s="24" t="s">
        <v>51</v>
      </c>
      <c r="H28" s="24" t="s">
        <v>52</v>
      </c>
    </row>
    <row r="29" customFormat="false" ht="15" hidden="false" customHeight="false" outlineLevel="0" collapsed="false">
      <c r="A29" s="4" t="s">
        <v>58</v>
      </c>
      <c r="D29" s="17" t="n">
        <f aca="false">$C$5*(1+D$11)</f>
        <v>49701.3</v>
      </c>
      <c r="E29" s="17" t="n">
        <f aca="false">D29*(1+E$11)</f>
        <v>54174.417</v>
      </c>
      <c r="F29" s="17" t="n">
        <f aca="false">E29*(1+F$11)</f>
        <v>58508.37036</v>
      </c>
      <c r="G29" s="17" t="n">
        <f aca="false">F29*(1+G$11)</f>
        <v>62603.9562852</v>
      </c>
      <c r="H29" s="17" t="n">
        <f aca="false">G29*(1+H$11)</f>
        <v>66360.193662312</v>
      </c>
    </row>
    <row r="30" customFormat="false" ht="15" hidden="false" customHeight="false" outlineLevel="0" collapsed="false">
      <c r="A30" s="4" t="s">
        <v>59</v>
      </c>
      <c r="D30" s="17" t="n">
        <f aca="false">D29*D$16</f>
        <v>9940.26</v>
      </c>
      <c r="E30" s="17" t="n">
        <f aca="false">E29*E$16</f>
        <v>11376.62757</v>
      </c>
      <c r="F30" s="17" t="n">
        <f aca="false">F29*F$16</f>
        <v>12871.8414792</v>
      </c>
      <c r="G30" s="17" t="n">
        <f aca="false">G29*G$16</f>
        <v>13772.870382744</v>
      </c>
      <c r="H30" s="17" t="n">
        <f aca="false">H29*H$16</f>
        <v>15262.8445423318</v>
      </c>
    </row>
    <row r="31" customFormat="false" ht="15" hidden="false" customHeight="false" outlineLevel="0" collapsed="false">
      <c r="A31" s="4" t="s">
        <v>60</v>
      </c>
      <c r="D31" s="25" t="n">
        <f aca="false">1/(1+$C$21)^D$25</f>
        <v>0.947027447620757</v>
      </c>
      <c r="E31" s="25" t="n">
        <f aca="false">1/(1+$C$21)^E$25</f>
        <v>0.84935197096032</v>
      </c>
      <c r="F31" s="25" t="n">
        <f aca="false">1/(1+$C$21)^F$25</f>
        <v>0.761750646601184</v>
      </c>
      <c r="G31" s="25" t="n">
        <f aca="false">1/(1+$C$21)^G$25</f>
        <v>0.683184436413618</v>
      </c>
      <c r="H31" s="25" t="n">
        <f aca="false">1/(1+$C$21)^H$25</f>
        <v>0.612721467635532</v>
      </c>
    </row>
    <row r="32" customFormat="false" ht="15" hidden="false" customHeight="false" outlineLevel="0" collapsed="false">
      <c r="A32" s="4" t="s">
        <v>61</v>
      </c>
      <c r="D32" s="17" t="n">
        <f aca="false">D30*D31</f>
        <v>9413.69905648671</v>
      </c>
      <c r="E32" s="17" t="n">
        <f aca="false">E30*E31</f>
        <v>9662.76104946102</v>
      </c>
      <c r="F32" s="17" t="n">
        <f aca="false">F30*F31</f>
        <v>9805.13356972854</v>
      </c>
      <c r="G32" s="17" t="n">
        <f aca="false">G30*G31</f>
        <v>9409.41069023277</v>
      </c>
      <c r="H32" s="17" t="n">
        <f aca="false">H30*H31</f>
        <v>9351.87250827048</v>
      </c>
    </row>
    <row r="33" customFormat="false" ht="15" hidden="false" customHeight="false" outlineLevel="0" collapsed="false">
      <c r="B33" s="4" t="s">
        <v>62</v>
      </c>
      <c r="C33" s="17" t="n">
        <f aca="false">SUM(D32:H32)</f>
        <v>47642.8768741795</v>
      </c>
    </row>
    <row r="34" customFormat="false" ht="15" hidden="false" customHeight="false" outlineLevel="0" collapsed="false">
      <c r="B34" s="4" t="s">
        <v>63</v>
      </c>
      <c r="C34" s="17" t="n">
        <f aca="false">H30*(1+$D$21)/($C$21-$D$21)</f>
        <v>173826.840621001</v>
      </c>
    </row>
    <row r="35" customFormat="false" ht="15" hidden="false" customHeight="false" outlineLevel="0" collapsed="false">
      <c r="B35" s="4" t="s">
        <v>64</v>
      </c>
      <c r="C35" s="17" t="n">
        <f aca="false">C34*H31</f>
        <v>106507.436899747</v>
      </c>
    </row>
    <row r="36" customFormat="false" ht="15" hidden="false" customHeight="false" outlineLevel="0" collapsed="false">
      <c r="B36" s="4" t="s">
        <v>65</v>
      </c>
      <c r="C36" s="26" t="n">
        <f aca="false">C33+C35</f>
        <v>154150.313773927</v>
      </c>
    </row>
    <row r="37" customFormat="false" ht="15" hidden="false" customHeight="false" outlineLevel="0" collapsed="false">
      <c r="B37" s="4" t="s">
        <v>66</v>
      </c>
      <c r="C37" s="17" t="n">
        <f aca="false">C36-$C$6</f>
        <v>148690.313773927</v>
      </c>
    </row>
    <row r="38" customFormat="false" ht="15" hidden="false" customHeight="false" outlineLevel="0" collapsed="false">
      <c r="B38" s="4" t="s">
        <v>67</v>
      </c>
      <c r="C38" s="27" t="n">
        <f aca="false">C37/$C$7</f>
        <v>35.2346715104092</v>
      </c>
    </row>
    <row r="39" customFormat="false" ht="15" hidden="false" customHeight="false" outlineLevel="0" collapsed="false">
      <c r="B39" s="4" t="s">
        <v>68</v>
      </c>
      <c r="C39" s="14" t="n">
        <f aca="false">C38/$C$8-1</f>
        <v>-0.679684804450826</v>
      </c>
    </row>
    <row r="41" customFormat="false" ht="15" hidden="false" customHeight="false" outlineLevel="0" collapsed="false">
      <c r="A41" s="23" t="s">
        <v>69</v>
      </c>
      <c r="B41" s="2"/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D42" s="24" t="s">
        <v>48</v>
      </c>
      <c r="E42" s="24" t="s">
        <v>49</v>
      </c>
      <c r="F42" s="24" t="s">
        <v>50</v>
      </c>
      <c r="G42" s="24" t="s">
        <v>51</v>
      </c>
      <c r="H42" s="24" t="s">
        <v>52</v>
      </c>
    </row>
    <row r="43" customFormat="false" ht="15" hidden="false" customHeight="false" outlineLevel="0" collapsed="false">
      <c r="A43" s="4" t="s">
        <v>58</v>
      </c>
      <c r="D43" s="17" t="n">
        <f aca="false">$C$5*(1+D$12)</f>
        <v>51056.79</v>
      </c>
      <c r="E43" s="17" t="n">
        <f aca="false">D43*(1+E$12)</f>
        <v>57183.6048</v>
      </c>
      <c r="F43" s="17" t="n">
        <f aca="false">E43*(1+F$12)</f>
        <v>63473.801328</v>
      </c>
      <c r="G43" s="17" t="n">
        <f aca="false">F43*(1+G$12)</f>
        <v>69186.44344752</v>
      </c>
      <c r="H43" s="17" t="n">
        <f aca="false">G43*(1+H$12)</f>
        <v>74721.3589233216</v>
      </c>
    </row>
    <row r="44" customFormat="false" ht="15" hidden="false" customHeight="false" outlineLevel="0" collapsed="false">
      <c r="A44" s="4" t="s">
        <v>59</v>
      </c>
      <c r="D44" s="17" t="n">
        <f aca="false">D43*D$17</f>
        <v>10721.9259</v>
      </c>
      <c r="E44" s="17" t="n">
        <f aca="false">E43*E$17</f>
        <v>13152.229104</v>
      </c>
      <c r="F44" s="17" t="n">
        <f aca="false">F43*F$17</f>
        <v>15868.450332</v>
      </c>
      <c r="G44" s="17" t="n">
        <f aca="false">G43*G$17</f>
        <v>17988.4752963552</v>
      </c>
      <c r="H44" s="17" t="n">
        <f aca="false">H43*H$17</f>
        <v>20174.7669092968</v>
      </c>
    </row>
    <row r="45" customFormat="false" ht="15" hidden="false" customHeight="false" outlineLevel="0" collapsed="false">
      <c r="A45" s="4" t="s">
        <v>60</v>
      </c>
      <c r="D45" s="25" t="n">
        <f aca="false">1/(1+$C$22)^D$25</f>
        <v>0.949931935368643</v>
      </c>
      <c r="E45" s="25" t="n">
        <f aca="false">1/(1+$C$22)^E$25</f>
        <v>0.857190728213749</v>
      </c>
      <c r="F45" s="25" t="n">
        <f aca="false">1/(1+$C$22)^F$25</f>
        <v>0.773503781879352</v>
      </c>
      <c r="G45" s="25" t="n">
        <f aca="false">1/(1+$C$22)^G$25</f>
        <v>0.697987135055042</v>
      </c>
      <c r="H45" s="25" t="n">
        <f aca="false">1/(1+$C$22)^H$25</f>
        <v>0.629843126970432</v>
      </c>
    </row>
    <row r="46" customFormat="false" ht="15" hidden="false" customHeight="false" outlineLevel="0" collapsed="false">
      <c r="A46" s="4" t="s">
        <v>61</v>
      </c>
      <c r="D46" s="17" t="n">
        <f aca="false">D44*D45</f>
        <v>10185.0998210662</v>
      </c>
      <c r="E46" s="17" t="n">
        <f aca="false">E44*E45</f>
        <v>11273.9688432918</v>
      </c>
      <c r="F46" s="17" t="n">
        <f aca="false">F44*F45</f>
        <v>12274.3063443667</v>
      </c>
      <c r="G46" s="17" t="n">
        <f aca="false">G44*G45</f>
        <v>12555.7243361114</v>
      </c>
      <c r="H46" s="17" t="n">
        <f aca="false">H44*H45</f>
        <v>12706.9382760511</v>
      </c>
    </row>
    <row r="47" customFormat="false" ht="15" hidden="false" customHeight="false" outlineLevel="0" collapsed="false">
      <c r="B47" s="4" t="s">
        <v>62</v>
      </c>
      <c r="C47" s="17" t="n">
        <f aca="false">SUM(D46:H46)</f>
        <v>58996.0376208872</v>
      </c>
    </row>
    <row r="48" customFormat="false" ht="15" hidden="false" customHeight="false" outlineLevel="0" collapsed="false">
      <c r="B48" s="4" t="s">
        <v>63</v>
      </c>
      <c r="C48" s="17" t="n">
        <f aca="false">H44*(1+$D$22)/($C$22-$D$22)</f>
        <v>265756.103826741</v>
      </c>
    </row>
    <row r="49" customFormat="false" ht="15" hidden="false" customHeight="false" outlineLevel="0" collapsed="false">
      <c r="B49" s="4" t="s">
        <v>64</v>
      </c>
      <c r="C49" s="17" t="n">
        <f aca="false">C48*H45</f>
        <v>167384.655445713</v>
      </c>
    </row>
    <row r="50" customFormat="false" ht="15" hidden="false" customHeight="false" outlineLevel="0" collapsed="false">
      <c r="B50" s="4" t="s">
        <v>65</v>
      </c>
      <c r="C50" s="26" t="n">
        <f aca="false">C47+C49</f>
        <v>226380.6930666</v>
      </c>
    </row>
    <row r="51" customFormat="false" ht="15" hidden="false" customHeight="false" outlineLevel="0" collapsed="false">
      <c r="B51" s="4" t="s">
        <v>66</v>
      </c>
      <c r="C51" s="17" t="n">
        <f aca="false">C50-$C$6</f>
        <v>220920.6930666</v>
      </c>
    </row>
    <row r="52" customFormat="false" ht="15" hidden="false" customHeight="false" outlineLevel="0" collapsed="false">
      <c r="B52" s="4" t="s">
        <v>67</v>
      </c>
      <c r="C52" s="27" t="n">
        <f aca="false">C51/$C$7</f>
        <v>52.3508751342655</v>
      </c>
    </row>
    <row r="53" customFormat="false" ht="15" hidden="false" customHeight="false" outlineLevel="0" collapsed="false">
      <c r="B53" s="4" t="s">
        <v>68</v>
      </c>
      <c r="C53" s="14" t="n">
        <f aca="false">C52/$C$8-1</f>
        <v>-0.524082953324859</v>
      </c>
    </row>
    <row r="55" customFormat="false" ht="15" hidden="false" customHeight="false" outlineLevel="0" collapsed="false">
      <c r="A55" s="23" t="s">
        <v>70</v>
      </c>
      <c r="B55" s="2"/>
      <c r="C55" s="2"/>
      <c r="D55" s="2"/>
      <c r="E55" s="2"/>
      <c r="F55" s="2"/>
      <c r="G55" s="2"/>
      <c r="H55" s="2"/>
    </row>
    <row r="56" customFormat="false" ht="15" hidden="false" customHeight="false" outlineLevel="0" collapsed="false">
      <c r="D56" s="24" t="s">
        <v>48</v>
      </c>
      <c r="E56" s="24" t="s">
        <v>49</v>
      </c>
      <c r="F56" s="24" t="s">
        <v>50</v>
      </c>
      <c r="G56" s="24" t="s">
        <v>51</v>
      </c>
      <c r="H56" s="24" t="s">
        <v>52</v>
      </c>
    </row>
    <row r="57" customFormat="false" ht="15" hidden="false" customHeight="false" outlineLevel="0" collapsed="false">
      <c r="A57" s="4" t="s">
        <v>58</v>
      </c>
      <c r="D57" s="17" t="n">
        <f aca="false">$C$5*(1+D$13)</f>
        <v>52864.11</v>
      </c>
      <c r="E57" s="17" t="n">
        <f aca="false">D57*(1+E$13)</f>
        <v>61322.3676</v>
      </c>
      <c r="F57" s="17" t="n">
        <f aca="false">E57*(1+F$13)</f>
        <v>69907.499064</v>
      </c>
      <c r="G57" s="17" t="n">
        <f aca="false">F57*(1+G$13)</f>
        <v>78296.39895168</v>
      </c>
      <c r="H57" s="17" t="n">
        <f aca="false">G57*(1+H$13)</f>
        <v>86909.0028363648</v>
      </c>
    </row>
    <row r="58" customFormat="false" ht="15" hidden="false" customHeight="false" outlineLevel="0" collapsed="false">
      <c r="A58" s="4" t="s">
        <v>59</v>
      </c>
      <c r="D58" s="17" t="n">
        <f aca="false">D57*D$18</f>
        <v>12158.7453</v>
      </c>
      <c r="E58" s="17" t="n">
        <f aca="false">E57*E$18</f>
        <v>15943.815576</v>
      </c>
      <c r="F58" s="17" t="n">
        <f aca="false">F57*F$18</f>
        <v>20273.17472856</v>
      </c>
      <c r="G58" s="17" t="n">
        <f aca="false">G57*G$18</f>
        <v>24271.8836750208</v>
      </c>
      <c r="H58" s="17" t="n">
        <f aca="false">H57*H$18</f>
        <v>28679.9709360004</v>
      </c>
    </row>
    <row r="59" customFormat="false" ht="15" hidden="false" customHeight="false" outlineLevel="0" collapsed="false">
      <c r="A59" s="4" t="s">
        <v>60</v>
      </c>
      <c r="D59" s="25" t="n">
        <f aca="false">1/(1+$C$23)^D$25</f>
        <v>0.960030721474639</v>
      </c>
      <c r="E59" s="25" t="n">
        <f aca="false">1/(1+$C$23)^E$25</f>
        <v>0.88482094145128</v>
      </c>
      <c r="F59" s="25" t="n">
        <f aca="false">1/(1+$C$23)^F$25</f>
        <v>0.815503171844498</v>
      </c>
      <c r="G59" s="25" t="n">
        <f aca="false">1/(1+$C$23)^G$25</f>
        <v>0.751615826584791</v>
      </c>
      <c r="H59" s="25" t="n">
        <f aca="false">1/(1+$C$23)^H$25</f>
        <v>0.692733480723309</v>
      </c>
    </row>
    <row r="60" customFormat="false" ht="15" hidden="false" customHeight="false" outlineLevel="0" collapsed="false">
      <c r="A60" s="4" t="s">
        <v>61</v>
      </c>
      <c r="D60" s="17" t="n">
        <f aca="false">D58*D59</f>
        <v>11672.7690225854</v>
      </c>
      <c r="E60" s="17" t="n">
        <f aca="false">E58*E59</f>
        <v>14107.4219082819</v>
      </c>
      <c r="F60" s="17" t="n">
        <f aca="false">F58*F59</f>
        <v>16532.8382944984</v>
      </c>
      <c r="G60" s="17" t="n">
        <f aca="false">G58*G59</f>
        <v>18243.1319111706</v>
      </c>
      <c r="H60" s="17" t="n">
        <f aca="false">H58*H59</f>
        <v>19867.5760935389</v>
      </c>
    </row>
    <row r="61" customFormat="false" ht="15" hidden="false" customHeight="false" outlineLevel="0" collapsed="false">
      <c r="B61" s="4" t="s">
        <v>62</v>
      </c>
      <c r="C61" s="17" t="n">
        <f aca="false">SUM(D60:H60)</f>
        <v>80423.7372300752</v>
      </c>
    </row>
    <row r="62" customFormat="false" ht="15" hidden="false" customHeight="false" outlineLevel="0" collapsed="false">
      <c r="B62" s="4" t="s">
        <v>63</v>
      </c>
      <c r="C62" s="17" t="n">
        <f aca="false">H58*(1+$D$23)/($C$23-$D$23)</f>
        <v>593675.398375208</v>
      </c>
    </row>
    <row r="63" customFormat="false" ht="15" hidden="false" customHeight="false" outlineLevel="0" collapsed="false">
      <c r="B63" s="4" t="s">
        <v>64</v>
      </c>
      <c r="C63" s="17" t="n">
        <f aca="false">C62*H59</f>
        <v>411258.825136255</v>
      </c>
    </row>
    <row r="64" customFormat="false" ht="15" hidden="false" customHeight="false" outlineLevel="0" collapsed="false">
      <c r="B64" s="4" t="s">
        <v>65</v>
      </c>
      <c r="C64" s="26" t="n">
        <f aca="false">C61+C63</f>
        <v>491682.56236633</v>
      </c>
    </row>
    <row r="65" customFormat="false" ht="15" hidden="false" customHeight="false" outlineLevel="0" collapsed="false">
      <c r="B65" s="4" t="s">
        <v>66</v>
      </c>
      <c r="C65" s="17" t="n">
        <f aca="false">C64-$C$6</f>
        <v>486222.56236633</v>
      </c>
    </row>
    <row r="66" customFormat="false" ht="15" hidden="false" customHeight="false" outlineLevel="0" collapsed="false">
      <c r="B66" s="4" t="s">
        <v>67</v>
      </c>
      <c r="C66" s="27" t="n">
        <f aca="false">C65/$C$7</f>
        <v>115.218616674486</v>
      </c>
    </row>
    <row r="67" customFormat="false" ht="15" hidden="false" customHeight="false" outlineLevel="0" collapsed="false">
      <c r="B67" s="4" t="s">
        <v>68</v>
      </c>
      <c r="C67" s="14" t="n">
        <f aca="false">C66/$C$8-1</f>
        <v>0.0474419697680533</v>
      </c>
    </row>
    <row r="70" customFormat="false" ht="15" hidden="false" customHeight="false" outlineLevel="0" collapsed="false">
      <c r="A70" s="7" t="s">
        <v>71</v>
      </c>
      <c r="B70" s="8"/>
      <c r="C70" s="8"/>
      <c r="D70" s="8"/>
      <c r="E70" s="8"/>
      <c r="F70" s="8"/>
      <c r="G70" s="8"/>
      <c r="H70" s="8"/>
    </row>
    <row r="71" customFormat="false" ht="15" hidden="false" customHeight="false" outlineLevel="0" collapsed="false">
      <c r="B71" s="3" t="s">
        <v>72</v>
      </c>
      <c r="D71" s="28" t="n">
        <f aca="false">E71-0.005</f>
        <v>0.02</v>
      </c>
      <c r="E71" s="28" t="n">
        <f aca="false">F71-0.005</f>
        <v>0.025</v>
      </c>
      <c r="F71" s="29" t="n">
        <f aca="false">$D$22</f>
        <v>0.03</v>
      </c>
      <c r="G71" s="28" t="n">
        <f aca="false">F71+0.005</f>
        <v>0.035</v>
      </c>
      <c r="H71" s="28" t="n">
        <f aca="false">G71+0.005</f>
        <v>0.04</v>
      </c>
    </row>
    <row r="72" customFormat="false" ht="15" hidden="false" customHeight="false" outlineLevel="0" collapsed="false">
      <c r="C72" s="14" t="n">
        <f aca="false">C73-0.01</f>
        <v>0.0881920325341737</v>
      </c>
      <c r="D72" s="30" t="n">
        <f aca="false">(SUMPRODUCT($D$44:$H$44,1/(1+$C72)^($D$25:$H$25))+$H$44*(1+D$71)/($C72-D$71)/(1+$C72)^$H$25-$C$6)/$C$7</f>
        <v>62.2571802074425</v>
      </c>
      <c r="E72" s="30" t="n">
        <f aca="false">(SUMPRODUCT($D$44:$H$44,1/(1+$C72)^($D$25:$H$25))+$H$44*(1+E$71)/($C72-E$71)/(1+$C72)^$H$25-$C$6)/$C$7</f>
        <v>66.3838595429103</v>
      </c>
      <c r="F72" s="30" t="n">
        <f aca="false">(SUMPRODUCT($D$44:$H$44,1/(1+$C72)^($D$25:$H$25))+$H$44*(1+F$71)/($C72-F$71)/(1+$C72)^$H$25-$C$6)/$C$7</f>
        <v>71.2196873916294</v>
      </c>
      <c r="G72" s="30" t="n">
        <f aca="false">(SUMPRODUCT($D$44:$H$44,1/(1+$C72)^($D$25:$H$25))+$H$44*(1+G$71)/($C72-G$71)/(1+$C72)^$H$25-$C$6)/$C$7</f>
        <v>76.9646415922344</v>
      </c>
      <c r="H72" s="30" t="n">
        <f aca="false">(SUMPRODUCT($D$44:$H$44,1/(1+$C72)^($D$25:$H$25))+$H$44*(1+H$71)/($C72-H$71)/(1+$C72)^$H$25-$C$6)/$C$7</f>
        <v>83.9016920582399</v>
      </c>
    </row>
    <row r="73" customFormat="false" ht="15" hidden="false" customHeight="false" outlineLevel="0" collapsed="false">
      <c r="C73" s="14" t="n">
        <f aca="false">C74-0.01</f>
        <v>0.0981920325341737</v>
      </c>
      <c r="D73" s="30" t="n">
        <f aca="false">(SUMPRODUCT($D$44:$H$44,1/(1+$C73)^($D$25:$H$25))+$H$44*(1+D$71)/($C73-D$71)/(1+$C73)^$H$25-$C$6)/$C$7</f>
        <v>53.9366382690543</v>
      </c>
      <c r="E73" s="30" t="n">
        <f aca="false">(SUMPRODUCT($D$44:$H$44,1/(1+$C73)^($D$25:$H$25))+$H$44*(1+E$71)/($C73-E$71)/(1+$C73)^$H$25-$C$6)/$C$7</f>
        <v>56.9459401682292</v>
      </c>
      <c r="F73" s="30" t="n">
        <f aca="false">(SUMPRODUCT($D$44:$H$44,1/(1+$C73)^($D$25:$H$25))+$H$44*(1+F$71)/($C73-F$71)/(1+$C73)^$H$25-$C$6)/$C$7</f>
        <v>60.3965402348502</v>
      </c>
      <c r="G73" s="30" t="n">
        <f aca="false">(SUMPRODUCT($D$44:$H$44,1/(1+$C73)^($D$25:$H$25))+$H$44*(1+G$71)/($C73-G$71)/(1+$C73)^$H$25-$C$6)/$C$7</f>
        <v>64.3931901638102</v>
      </c>
      <c r="H73" s="30" t="n">
        <f aca="false">(SUMPRODUCT($D$44:$H$44,1/(1+$C73)^($D$25:$H$25))+$H$44*(1+H$71)/($C73-H$71)/(1+$C73)^$H$25-$C$6)/$C$7</f>
        <v>69.0766437246271</v>
      </c>
    </row>
    <row r="74" customFormat="false" ht="15" hidden="false" customHeight="false" outlineLevel="0" collapsed="false">
      <c r="C74" s="13" t="n">
        <f aca="false">$C$22</f>
        <v>0.108192032534174</v>
      </c>
      <c r="D74" s="30" t="n">
        <f aca="false">(SUMPRODUCT($D$44:$H$44,1/(1+$C74)^($D$25:$H$25))+$H$44*(1+D$71)/($C74-D$71)/(1+$C74)^$H$25-$C$6)/$C$7</f>
        <v>47.5119195185316</v>
      </c>
      <c r="E74" s="30" t="n">
        <f aca="false">(SUMPRODUCT($D$44:$H$44,1/(1+$C74)^($D$25:$H$25))+$H$44*(1+E$71)/($C74-E$71)/(1+$C74)^$H$25-$C$6)/$C$7</f>
        <v>49.7859820904579</v>
      </c>
      <c r="F74" s="30" t="n">
        <f aca="false">(SUMPRODUCT($D$44:$H$44,1/(1+$C74)^($D$25:$H$25))+$H$44*(1+F$71)/($C74-F$71)/(1+$C74)^$H$25-$C$6)/$C$7</f>
        <v>52.3508751342655</v>
      </c>
      <c r="G74" s="30" t="n">
        <f aca="false">(SUMPRODUCT($D$44:$H$44,1/(1+$C74)^($D$25:$H$25))+$H$44*(1+G$71)/($C74-G$71)/(1+$C74)^$H$25-$C$6)/$C$7</f>
        <v>55.2662015456134</v>
      </c>
      <c r="H74" s="30" t="n">
        <f aca="false">(SUMPRODUCT($D$44:$H$44,1/(1+$C74)^($D$25:$H$25))+$H$44*(1+H$71)/($C74-H$71)/(1+$C74)^$H$25-$C$6)/$C$7</f>
        <v>58.609045117399</v>
      </c>
    </row>
    <row r="75" customFormat="false" ht="15" hidden="false" customHeight="false" outlineLevel="0" collapsed="false">
      <c r="C75" s="14" t="n">
        <f aca="false">C74+0.01</f>
        <v>0.118192032534174</v>
      </c>
      <c r="D75" s="30" t="n">
        <f aca="false">(SUMPRODUCT($D$44:$H$44,1/(1+$C75)^($D$25:$H$25))+$H$44*(1+D$71)/($C75-D$71)/(1+$C75)^$H$25-$C$6)/$C$7</f>
        <v>42.4034538100642</v>
      </c>
      <c r="E75" s="30" t="n">
        <f aca="false">(SUMPRODUCT($D$44:$H$44,1/(1+$C75)^($D$25:$H$25))+$H$44*(1+E$71)/($C75-E$71)/(1+$C75)^$H$25-$C$6)/$C$7</f>
        <v>44.1703200326514</v>
      </c>
      <c r="F75" s="30" t="n">
        <f aca="false">(SUMPRODUCT($D$44:$H$44,1/(1+$C75)^($D$25:$H$25))+$H$44*(1+F$71)/($C75-F$71)/(1+$C75)^$H$25-$C$6)/$C$7</f>
        <v>46.1375293215925</v>
      </c>
      <c r="G75" s="30" t="n">
        <f aca="false">(SUMPRODUCT($D$44:$H$44,1/(1+$C75)^($D$25:$H$25))+$H$44*(1+G$71)/($C75-G$71)/(1+$C75)^$H$25-$C$6)/$C$7</f>
        <v>48.3412046793405</v>
      </c>
      <c r="H75" s="30" t="n">
        <f aca="false">(SUMPRODUCT($D$44:$H$44,1/(1+$C75)^($D$25:$H$25))+$H$44*(1+H$71)/($C75-H$71)/(1+$C75)^$H$25-$C$6)/$C$7</f>
        <v>50.8267086692812</v>
      </c>
    </row>
    <row r="76" customFormat="false" ht="15" hidden="false" customHeight="false" outlineLevel="0" collapsed="false">
      <c r="C76" s="14" t="n">
        <f aca="false">C75+0.01</f>
        <v>0.128192032534174</v>
      </c>
      <c r="D76" s="30" t="n">
        <f aca="false">(SUMPRODUCT($D$44:$H$44,1/(1+$C76)^($D$25:$H$25))+$H$44*(1+D$71)/($C76-D$71)/(1+$C76)^$H$25-$C$6)/$C$7</f>
        <v>38.2459622834771</v>
      </c>
      <c r="E76" s="30" t="n">
        <f aca="false">(SUMPRODUCT($D$44:$H$44,1/(1+$C76)^($D$25:$H$25))+$H$44*(1+E$71)/($C76-E$71)/(1+$C76)^$H$25-$C$6)/$C$7</f>
        <v>39.6496937443981</v>
      </c>
      <c r="F76" s="30" t="n">
        <f aca="false">(SUMPRODUCT($D$44:$H$44,1/(1+$C76)^($D$25:$H$25))+$H$44*(1+F$71)/($C76-F$71)/(1+$C76)^$H$25-$C$6)/$C$7</f>
        <v>41.1963829814944</v>
      </c>
      <c r="G76" s="30" t="n">
        <f aca="false">(SUMPRODUCT($D$44:$H$44,1/(1+$C76)^($D$25:$H$25))+$H$44*(1+G$71)/($C76-G$71)/(1+$C76)^$H$25-$C$6)/$C$7</f>
        <v>42.9090401876367</v>
      </c>
      <c r="H76" s="30" t="n">
        <f aca="false">(SUMPRODUCT($D$44:$H$44,1/(1+$C76)^($D$25:$H$25))+$H$44*(1+H$71)/($C76-H$71)/(1+$C76)^$H$25-$C$6)/$C$7</f>
        <v>44.8158937578869</v>
      </c>
    </row>
    <row r="79" customFormat="false" ht="15" hidden="false" customHeight="false" outlineLevel="0" collapsed="false">
      <c r="A79" s="7" t="s">
        <v>73</v>
      </c>
      <c r="B79" s="8"/>
      <c r="C79" s="8"/>
      <c r="D79" s="8"/>
      <c r="E79" s="8"/>
      <c r="F79" s="8"/>
      <c r="G79" s="8"/>
      <c r="H79" s="8"/>
    </row>
    <row r="80" customFormat="false" ht="15" hidden="false" customHeight="false" outlineLevel="0" collapsed="false">
      <c r="B80" s="3" t="s">
        <v>74</v>
      </c>
      <c r="D80" s="28" t="n">
        <f aca="false">E80-0.02</f>
        <v>0.21</v>
      </c>
      <c r="E80" s="28" t="n">
        <f aca="false">F80-0.02</f>
        <v>0.23</v>
      </c>
      <c r="F80" s="31" t="n">
        <v>0.25</v>
      </c>
      <c r="G80" s="28" t="n">
        <f aca="false">F80+0.02</f>
        <v>0.27</v>
      </c>
      <c r="H80" s="28" t="n">
        <f aca="false">G80+0.02</f>
        <v>0.29</v>
      </c>
    </row>
    <row r="81" customFormat="false" ht="15" hidden="false" customHeight="false" outlineLevel="0" collapsed="false">
      <c r="C81" s="14" t="n">
        <f aca="false">C82-0.02</f>
        <v>0.06</v>
      </c>
      <c r="D81" s="30" t="n">
        <f aca="false">(D$80*$C$5*SUMPRODUCT((1+$C81)^($D$25:$H$25+0.5),1/(1+$C$22)^($D$25:$H$25))+D$80*$C$5*(1+$C81)^5*(1+$D$22)/($C$22-$D$22)/(1+$C$22)^$H$25-$C$6)/$C$7</f>
        <v>34.0478377166439</v>
      </c>
      <c r="E81" s="30" t="n">
        <f aca="false">(E$80*$C$5*SUMPRODUCT((1+$C81)^($D$25:$H$25+0.5),1/(1+$C$22)^($D$25:$H$25))+E$80*$C$5*(1+$C81)^5*(1+$D$22)/($C$22-$D$22)/(1+$C$22)^$H$25-$C$6)/$C$7</f>
        <v>37.413711676568</v>
      </c>
      <c r="F81" s="30" t="n">
        <f aca="false">(F$80*$C$5*SUMPRODUCT((1+$C81)^($D$25:$H$25+0.5),1/(1+$C$22)^($D$25:$H$25))+F$80*$C$5*(1+$C81)^5*(1+$D$22)/($C$22-$D$22)/(1+$C$22)^$H$25-$C$6)/$C$7</f>
        <v>40.7795856364921</v>
      </c>
      <c r="G81" s="30" t="n">
        <f aca="false">(G$80*$C$5*SUMPRODUCT((1+$C81)^($D$25:$H$25+0.5),1/(1+$C$22)^($D$25:$H$25))+G$80*$C$5*(1+$C81)^5*(1+$D$22)/($C$22-$D$22)/(1+$C$22)^$H$25-$C$6)/$C$7</f>
        <v>44.1454595964162</v>
      </c>
      <c r="H81" s="30" t="n">
        <f aca="false">(H$80*$C$5*SUMPRODUCT((1+$C81)^($D$25:$H$25+0.5),1/(1+$C$22)^($D$25:$H$25))+H$80*$C$5*(1+$C81)^5*(1+$D$22)/($C$22-$D$22)/(1+$C$22)^$H$25-$C$6)/$C$7</f>
        <v>47.5113335563403</v>
      </c>
    </row>
    <row r="82" customFormat="false" ht="15" hidden="false" customHeight="false" outlineLevel="0" collapsed="false">
      <c r="C82" s="14" t="n">
        <f aca="false">C83-0.02</f>
        <v>0.08</v>
      </c>
      <c r="D82" s="30" t="n">
        <f aca="false">(D$80*$C$5*SUMPRODUCT((1+$C82)^($D$25:$H$25+0.5),1/(1+$C$22)^($D$25:$H$25))+D$80*$C$5*(1+$C82)^5*(1+$D$22)/($C$22-$D$22)/(1+$C$22)^$H$25-$C$6)/$C$7</f>
        <v>37.0776835871701</v>
      </c>
      <c r="E82" s="30" t="n">
        <f aca="false">(E$80*$C$5*SUMPRODUCT((1+$C82)^($D$25:$H$25+0.5),1/(1+$C$22)^($D$25:$H$25))+E$80*$C$5*(1+$C82)^5*(1+$D$22)/($C$22-$D$22)/(1+$C$22)^$H$25-$C$6)/$C$7</f>
        <v>40.7321142966681</v>
      </c>
      <c r="F82" s="30" t="n">
        <f aca="false">(F$80*$C$5*SUMPRODUCT((1+$C82)^($D$25:$H$25+0.5),1/(1+$C$22)^($D$25:$H$25))+F$80*$C$5*(1+$C82)^5*(1+$D$22)/($C$22-$D$22)/(1+$C$22)^$H$25-$C$6)/$C$7</f>
        <v>44.3865450061661</v>
      </c>
      <c r="G82" s="30" t="n">
        <f aca="false">(G$80*$C$5*SUMPRODUCT((1+$C82)^($D$25:$H$25+0.5),1/(1+$C$22)^($D$25:$H$25))+G$80*$C$5*(1+$C82)^5*(1+$D$22)/($C$22-$D$22)/(1+$C$22)^$H$25-$C$6)/$C$7</f>
        <v>48.0409757156642</v>
      </c>
      <c r="H82" s="30" t="n">
        <f aca="false">(H$80*$C$5*SUMPRODUCT((1+$C82)^($D$25:$H$25+0.5),1/(1+$C$22)^($D$25:$H$25))+H$80*$C$5*(1+$C82)^5*(1+$D$22)/($C$22-$D$22)/(1+$C$22)^$H$25-$C$6)/$C$7</f>
        <v>51.6954064251622</v>
      </c>
    </row>
    <row r="83" customFormat="false" ht="15" hidden="false" customHeight="false" outlineLevel="0" collapsed="false">
      <c r="C83" s="32" t="n">
        <v>0.1</v>
      </c>
      <c r="D83" s="30" t="n">
        <f aca="false">(D$80*$C$5*SUMPRODUCT((1+$C83)^($D$25:$H$25+0.5),1/(1+$C$22)^($D$25:$H$25))+D$80*$C$5*(1+$C83)^5*(1+$D$22)/($C$22-$D$22)/(1+$C$22)^$H$25-$C$6)/$C$7</f>
        <v>40.3246694316751</v>
      </c>
      <c r="E83" s="30" t="n">
        <f aca="false">(E$80*$C$5*SUMPRODUCT((1+$C83)^($D$25:$H$25+0.5),1/(1+$C$22)^($D$25:$H$25))+E$80*$C$5*(1+$C83)^5*(1+$D$22)/($C$22-$D$22)/(1+$C$22)^$H$25-$C$6)/$C$7</f>
        <v>44.2883368882689</v>
      </c>
      <c r="F83" s="30" t="n">
        <f aca="false">(F$80*$C$5*SUMPRODUCT((1+$C83)^($D$25:$H$25+0.5),1/(1+$C$22)^($D$25:$H$25))+F$80*$C$5*(1+$C83)^5*(1+$D$22)/($C$22-$D$22)/(1+$C$22)^$H$25-$C$6)/$C$7</f>
        <v>48.2520043448626</v>
      </c>
      <c r="G83" s="30" t="n">
        <f aca="false">(G$80*$C$5*SUMPRODUCT((1+$C83)^($D$25:$H$25+0.5),1/(1+$C$22)^($D$25:$H$25))+G$80*$C$5*(1+$C83)^5*(1+$D$22)/($C$22-$D$22)/(1+$C$22)^$H$25-$C$6)/$C$7</f>
        <v>52.2156718014564</v>
      </c>
      <c r="H83" s="30" t="n">
        <f aca="false">(H$80*$C$5*SUMPRODUCT((1+$C83)^($D$25:$H$25+0.5),1/(1+$C$22)^($D$25:$H$25))+H$80*$C$5*(1+$C83)^5*(1+$D$22)/($C$22-$D$22)/(1+$C$22)^$H$25-$C$6)/$C$7</f>
        <v>56.1793392580502</v>
      </c>
    </row>
    <row r="84" customFormat="false" ht="15" hidden="false" customHeight="false" outlineLevel="0" collapsed="false">
      <c r="C84" s="14" t="n">
        <f aca="false">C83+0.02</f>
        <v>0.12</v>
      </c>
      <c r="D84" s="30" t="n">
        <f aca="false">(D$80*$C$5*SUMPRODUCT((1+$C84)^($D$25:$H$25+0.5),1/(1+$C$22)^($D$25:$H$25))+D$80*$C$5*(1+$C84)^5*(1+$D$22)/($C$22-$D$22)/(1+$C$22)^$H$25-$C$6)/$C$7</f>
        <v>43.8006543277025</v>
      </c>
      <c r="E84" s="30" t="n">
        <f aca="false">(E$80*$C$5*SUMPRODUCT((1+$C84)^($D$25:$H$25+0.5),1/(1+$C$22)^($D$25:$H$25))+E$80*$C$5*(1+$C84)^5*(1+$D$22)/($C$22-$D$22)/(1+$C$22)^$H$25-$C$6)/$C$7</f>
        <v>48.0953679648703</v>
      </c>
      <c r="F84" s="30" t="n">
        <f aca="false">(F$80*$C$5*SUMPRODUCT((1+$C84)^($D$25:$H$25+0.5),1/(1+$C$22)^($D$25:$H$25))+F$80*$C$5*(1+$C84)^5*(1+$D$22)/($C$22-$D$22)/(1+$C$22)^$H$25-$C$6)/$C$7</f>
        <v>52.3900816020381</v>
      </c>
      <c r="G84" s="30" t="n">
        <f aca="false">(G$80*$C$5*SUMPRODUCT((1+$C84)^($D$25:$H$25+0.5),1/(1+$C$22)^($D$25:$H$25))+G$80*$C$5*(1+$C84)^5*(1+$D$22)/($C$22-$D$22)/(1+$C$22)^$H$25-$C$6)/$C$7</f>
        <v>56.6847952392059</v>
      </c>
      <c r="H84" s="30" t="n">
        <f aca="false">(H$80*$C$5*SUMPRODUCT((1+$C84)^($D$25:$H$25+0.5),1/(1+$C$22)^($D$25:$H$25))+H$80*$C$5*(1+$C84)^5*(1+$D$22)/($C$22-$D$22)/(1+$C$22)^$H$25-$C$6)/$C$7</f>
        <v>60.9795088763737</v>
      </c>
    </row>
    <row r="85" customFormat="false" ht="15" hidden="false" customHeight="false" outlineLevel="0" collapsed="false">
      <c r="C85" s="14" t="n">
        <f aca="false">C84+0.02</f>
        <v>0.14</v>
      </c>
      <c r="D85" s="30" t="n">
        <f aca="false">(D$80*$C$5*SUMPRODUCT((1+$C85)^($D$25:$H$25+0.5),1/(1+$C$22)^($D$25:$H$25))+D$80*$C$5*(1+$C85)^5*(1+$D$22)/($C$22-$D$22)/(1+$C$22)^$H$25-$C$6)/$C$7</f>
        <v>47.5179272766157</v>
      </c>
      <c r="E85" s="30" t="n">
        <f aca="false">(E$80*$C$5*SUMPRODUCT((1+$C85)^($D$25:$H$25+0.5),1/(1+$C$22)^($D$25:$H$25))+E$80*$C$5*(1+$C85)^5*(1+$D$22)/($C$22-$D$22)/(1+$C$22)^$H$25-$C$6)/$C$7</f>
        <v>52.1666669089181</v>
      </c>
      <c r="F85" s="30" t="n">
        <f aca="false">(F$80*$C$5*SUMPRODUCT((1+$C85)^($D$25:$H$25+0.5),1/(1+$C$22)^($D$25:$H$25))+F$80*$C$5*(1+$C85)^5*(1+$D$22)/($C$22-$D$22)/(1+$C$22)^$H$25-$C$6)/$C$7</f>
        <v>56.8154065412205</v>
      </c>
      <c r="G85" s="30" t="n">
        <f aca="false">(G$80*$C$5*SUMPRODUCT((1+$C85)^($D$25:$H$25+0.5),1/(1+$C$22)^($D$25:$H$25))+G$80*$C$5*(1+$C85)^5*(1+$D$22)/($C$22-$D$22)/(1+$C$22)^$H$25-$C$6)/$C$7</f>
        <v>61.4641461735229</v>
      </c>
      <c r="H85" s="30" t="n">
        <f aca="false">(H$80*$C$5*SUMPRODUCT((1+$C85)^($D$25:$H$25+0.5),1/(1+$C$22)^($D$25:$H$25))+H$80*$C$5*(1+$C85)^5*(1+$D$22)/($C$22-$D$22)/(1+$C$22)^$H$25-$C$6)/$C$7</f>
        <v>66.1128858058252</v>
      </c>
    </row>
    <row r="88" customFormat="false" ht="15" hidden="false" customHeight="false" outlineLevel="0" collapsed="false">
      <c r="A88" s="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11"/>
    <col collapsed="false" customWidth="true" hidden="false" outlineLevel="0" max="16" min="13" style="0" width="10"/>
  </cols>
  <sheetData>
    <row r="1" customFormat="false" ht="16.15" hidden="false" customHeight="false" outlineLevel="0" collapsed="false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77</v>
      </c>
    </row>
    <row r="3" customFormat="false" ht="15" hidden="false" customHeight="false" outlineLevel="0" collapsed="false">
      <c r="A3" s="33" t="s">
        <v>78</v>
      </c>
      <c r="B3" s="34" t="s">
        <v>79</v>
      </c>
      <c r="C3" s="34" t="s">
        <v>80</v>
      </c>
      <c r="D3" s="34" t="s">
        <v>81</v>
      </c>
      <c r="E3" s="34" t="s">
        <v>82</v>
      </c>
      <c r="F3" s="34" t="s">
        <v>83</v>
      </c>
      <c r="G3" s="34" t="s">
        <v>84</v>
      </c>
      <c r="H3" s="34" t="s">
        <v>85</v>
      </c>
      <c r="I3" s="34" t="s">
        <v>86</v>
      </c>
      <c r="J3" s="34" t="s">
        <v>87</v>
      </c>
      <c r="K3" s="34" t="s">
        <v>88</v>
      </c>
      <c r="L3" s="34" t="s">
        <v>89</v>
      </c>
      <c r="M3" s="34" t="s">
        <v>90</v>
      </c>
      <c r="N3" s="34" t="s">
        <v>91</v>
      </c>
      <c r="O3" s="34" t="s">
        <v>92</v>
      </c>
      <c r="P3" s="34" t="s">
        <v>93</v>
      </c>
    </row>
    <row r="4" customFormat="false" ht="15" hidden="false" customHeight="false" outlineLevel="0" collapsed="false">
      <c r="A4" s="18" t="s">
        <v>94</v>
      </c>
      <c r="B4" s="10" t="n">
        <f aca="false">DCF!$C$5</f>
        <v>45183</v>
      </c>
      <c r="C4" s="16" t="n">
        <v>13327</v>
      </c>
      <c r="D4" s="16" t="n">
        <v>16400</v>
      </c>
      <c r="E4" s="17" t="n">
        <f aca="false">C4+D4</f>
        <v>29727</v>
      </c>
      <c r="F4" s="16" t="n">
        <v>10981</v>
      </c>
      <c r="G4" s="5" t="n">
        <f aca="false">WACC!$C$15</f>
        <v>110</v>
      </c>
      <c r="H4" s="10" t="n">
        <f aca="false">WACC!$C$16</f>
        <v>4220</v>
      </c>
      <c r="I4" s="10" t="n">
        <f aca="false">WACC!$C$18</f>
        <v>14460</v>
      </c>
      <c r="J4" s="10" t="n">
        <f aca="false">WACC!$C$19</f>
        <v>9000</v>
      </c>
      <c r="K4" s="17" t="n">
        <f aca="false">G4*H4</f>
        <v>464200</v>
      </c>
      <c r="L4" s="17" t="n">
        <f aca="false">K4+I4-J4</f>
        <v>469660</v>
      </c>
      <c r="M4" s="35" t="n">
        <f aca="false">L4/B4</f>
        <v>10.3946174446141</v>
      </c>
      <c r="N4" s="35" t="n">
        <f aca="false">L4/E4</f>
        <v>15.7991051905675</v>
      </c>
      <c r="O4" s="35" t="n">
        <f aca="false">L4/C4</f>
        <v>35.2412395888047</v>
      </c>
      <c r="P4" s="35" t="n">
        <f aca="false">IF(F4&gt;0,K4/F4,"n/m")</f>
        <v>42.2730170294144</v>
      </c>
    </row>
    <row r="5" customFormat="false" ht="15" hidden="false" customHeight="false" outlineLevel="0" collapsed="false">
      <c r="A5" s="4" t="s">
        <v>95</v>
      </c>
      <c r="B5" s="16" t="n">
        <v>124000</v>
      </c>
      <c r="C5" s="16" t="n">
        <v>24000</v>
      </c>
      <c r="D5" s="16" t="n">
        <v>14000</v>
      </c>
      <c r="E5" s="17" t="n">
        <f aca="false">C5+D5</f>
        <v>38000</v>
      </c>
      <c r="F5" s="16" t="n">
        <v>16000</v>
      </c>
      <c r="G5" s="36" t="n">
        <v>38</v>
      </c>
      <c r="H5" s="16" t="n">
        <v>3800</v>
      </c>
      <c r="I5" s="16" t="n">
        <v>100000</v>
      </c>
      <c r="J5" s="16" t="n">
        <v>6000</v>
      </c>
      <c r="K5" s="17" t="n">
        <f aca="false">G5*H5</f>
        <v>144400</v>
      </c>
      <c r="L5" s="17" t="n">
        <f aca="false">K5+I5-J5</f>
        <v>238400</v>
      </c>
      <c r="M5" s="35" t="n">
        <f aca="false">L5/B5</f>
        <v>1.92258064516129</v>
      </c>
      <c r="N5" s="35" t="n">
        <f aca="false">L5/E5</f>
        <v>6.27368421052632</v>
      </c>
      <c r="O5" s="35" t="n">
        <f aca="false">L5/C5</f>
        <v>9.93333333333333</v>
      </c>
      <c r="P5" s="35" t="n">
        <f aca="false">IF(F5&gt;0,K5/F5,"n/m")</f>
        <v>9.025</v>
      </c>
    </row>
    <row r="6" customFormat="false" ht="15" hidden="false" customHeight="false" outlineLevel="0" collapsed="false">
      <c r="A6" s="4" t="s">
        <v>96</v>
      </c>
      <c r="B6" s="16" t="n">
        <v>94000</v>
      </c>
      <c r="C6" s="16" t="n">
        <v>12000</v>
      </c>
      <c r="D6" s="16" t="n">
        <v>5000</v>
      </c>
      <c r="E6" s="17" t="n">
        <f aca="false">C6+D6</f>
        <v>17000</v>
      </c>
      <c r="F6" s="16" t="n">
        <v>6000</v>
      </c>
      <c r="G6" s="36" t="n">
        <v>112</v>
      </c>
      <c r="H6" s="16" t="n">
        <v>1800</v>
      </c>
      <c r="I6" s="16" t="n">
        <v>45000</v>
      </c>
      <c r="J6" s="16" t="n">
        <v>6000</v>
      </c>
      <c r="K6" s="17" t="n">
        <f aca="false">G6*H6</f>
        <v>201600</v>
      </c>
      <c r="L6" s="17" t="n">
        <f aca="false">K6+I6-J6</f>
        <v>240600</v>
      </c>
      <c r="M6" s="35" t="n">
        <f aca="false">L6/B6</f>
        <v>2.55957446808511</v>
      </c>
      <c r="N6" s="35" t="n">
        <f aca="false">L6/E6</f>
        <v>14.1529411764706</v>
      </c>
      <c r="O6" s="35" t="n">
        <f aca="false">L6/C6</f>
        <v>20.05</v>
      </c>
      <c r="P6" s="35" t="n">
        <f aca="false">IF(F6&gt;0,K6/F6,"n/m")</f>
        <v>33.6</v>
      </c>
    </row>
    <row r="7" customFormat="false" ht="15" hidden="false" customHeight="false" outlineLevel="0" collapsed="false">
      <c r="A7" s="4" t="s">
        <v>97</v>
      </c>
      <c r="B7" s="16" t="n">
        <v>29000</v>
      </c>
      <c r="C7" s="16" t="n">
        <v>2500</v>
      </c>
      <c r="D7" s="16" t="n">
        <v>1500</v>
      </c>
      <c r="E7" s="17" t="n">
        <f aca="false">C7+D7</f>
        <v>4000</v>
      </c>
      <c r="F7" s="16" t="n">
        <v>1000</v>
      </c>
      <c r="G7" s="36" t="n">
        <v>14</v>
      </c>
      <c r="H7" s="16" t="n">
        <v>700</v>
      </c>
      <c r="I7" s="16" t="n">
        <v>14000</v>
      </c>
      <c r="J7" s="16" t="n">
        <v>3000</v>
      </c>
      <c r="K7" s="17" t="n">
        <f aca="false">G7*H7</f>
        <v>9800</v>
      </c>
      <c r="L7" s="17" t="n">
        <f aca="false">K7+I7-J7</f>
        <v>20800</v>
      </c>
      <c r="M7" s="35" t="n">
        <f aca="false">L7/B7</f>
        <v>0.717241379310345</v>
      </c>
      <c r="N7" s="35" t="n">
        <f aca="false">L7/E7</f>
        <v>5.2</v>
      </c>
      <c r="O7" s="35" t="n">
        <f aca="false">L7/C7</f>
        <v>8.32</v>
      </c>
      <c r="P7" s="35" t="n">
        <f aca="false">IF(F7&gt;0,K7/F7,"n/m")</f>
        <v>9.8</v>
      </c>
    </row>
    <row r="8" customFormat="false" ht="15" hidden="false" customHeight="false" outlineLevel="0" collapsed="false">
      <c r="A8" s="4" t="s">
        <v>98</v>
      </c>
      <c r="B8" s="16" t="n">
        <v>18000</v>
      </c>
      <c r="C8" s="16" t="n">
        <v>1500</v>
      </c>
      <c r="D8" s="16" t="n">
        <v>200</v>
      </c>
      <c r="E8" s="17" t="n">
        <f aca="false">C8+D8</f>
        <v>1700</v>
      </c>
      <c r="F8" s="16" t="n">
        <v>1300</v>
      </c>
      <c r="G8" s="36" t="n">
        <v>600</v>
      </c>
      <c r="H8" s="16" t="n">
        <v>200</v>
      </c>
      <c r="I8" s="16" t="n">
        <v>1500</v>
      </c>
      <c r="J8" s="16" t="n">
        <v>8000</v>
      </c>
      <c r="K8" s="17" t="n">
        <f aca="false">G8*H8</f>
        <v>120000</v>
      </c>
      <c r="L8" s="17" t="n">
        <f aca="false">K8+I8-J8</f>
        <v>113500</v>
      </c>
      <c r="M8" s="35" t="n">
        <f aca="false">L8/B8</f>
        <v>6.30555555555556</v>
      </c>
      <c r="N8" s="35" t="n">
        <f aca="false">L8/E8</f>
        <v>66.7647058823529</v>
      </c>
      <c r="O8" s="35" t="n">
        <f aca="false">L8/C8</f>
        <v>75.6666666666667</v>
      </c>
      <c r="P8" s="35" t="n">
        <f aca="false">IF(F8&gt;0,K8/F8,"n/m")</f>
        <v>92.3076923076923</v>
      </c>
    </row>
    <row r="9" customFormat="false" ht="15" hidden="false" customHeight="false" outlineLevel="0" collapsed="false">
      <c r="A9" s="4" t="s">
        <v>99</v>
      </c>
      <c r="B9" s="16" t="n">
        <v>39000</v>
      </c>
      <c r="C9" s="16" t="n">
        <v>3000</v>
      </c>
      <c r="D9" s="16" t="n">
        <v>6000</v>
      </c>
      <c r="E9" s="17" t="n">
        <f aca="false">C9+D9</f>
        <v>9000</v>
      </c>
      <c r="F9" s="16" t="n">
        <v>-3000</v>
      </c>
      <c r="G9" s="36" t="n">
        <v>18</v>
      </c>
      <c r="H9" s="16" t="n">
        <v>2500</v>
      </c>
      <c r="I9" s="16" t="n">
        <v>38000</v>
      </c>
      <c r="J9" s="16" t="n">
        <v>4000</v>
      </c>
      <c r="K9" s="17" t="n">
        <f aca="false">G9*H9</f>
        <v>45000</v>
      </c>
      <c r="L9" s="17" t="n">
        <f aca="false">K9+I9-J9</f>
        <v>79000</v>
      </c>
      <c r="M9" s="35" t="n">
        <f aca="false">L9/B9</f>
        <v>2.02564102564103</v>
      </c>
      <c r="N9" s="35" t="n">
        <f aca="false">L9/E9</f>
        <v>8.77777777777778</v>
      </c>
      <c r="O9" s="35" t="n">
        <f aca="false">L9/C9</f>
        <v>26.3333333333333</v>
      </c>
      <c r="P9" s="35" t="str">
        <f aca="false">IF(F9&gt;0,K9/F9,"n/m")</f>
        <v>n/m</v>
      </c>
    </row>
    <row r="11" customFormat="false" ht="15" hidden="false" customHeight="false" outlineLevel="0" collapsed="false">
      <c r="A11" s="18" t="s">
        <v>100</v>
      </c>
      <c r="M11" s="37" t="n">
        <f aca="false">MEDIAN(M5:M9)</f>
        <v>2.02564102564103</v>
      </c>
      <c r="N11" s="37" t="n">
        <f aca="false">MEDIAN(N5:N9)</f>
        <v>8.77777777777778</v>
      </c>
      <c r="O11" s="37" t="n">
        <f aca="false">MEDIAN(O5:O9)</f>
        <v>20.05</v>
      </c>
      <c r="P11" s="37" t="n">
        <f aca="false">MEDIAN(P5:P9)</f>
        <v>21.7</v>
      </c>
    </row>
    <row r="13" customFormat="false" ht="15" hidden="false" customHeight="false" outlineLevel="0" collapsed="false">
      <c r="A13" s="7" t="s">
        <v>101</v>
      </c>
      <c r="B13" s="8"/>
      <c r="C13" s="8"/>
      <c r="D13" s="8"/>
      <c r="E13" s="8"/>
      <c r="F13" s="8"/>
    </row>
    <row r="14" customFormat="false" ht="15" hidden="false" customHeight="false" outlineLevel="0" collapsed="false">
      <c r="A14" s="38" t="s">
        <v>102</v>
      </c>
      <c r="B14" s="20" t="s">
        <v>103</v>
      </c>
      <c r="C14" s="20" t="s">
        <v>104</v>
      </c>
      <c r="D14" s="20" t="s">
        <v>105</v>
      </c>
      <c r="E14" s="20" t="s">
        <v>106</v>
      </c>
      <c r="F14" s="20" t="s">
        <v>107</v>
      </c>
    </row>
    <row r="15" customFormat="false" ht="15" hidden="false" customHeight="false" outlineLevel="0" collapsed="false">
      <c r="A15" s="4" t="s">
        <v>90</v>
      </c>
      <c r="B15" s="35" t="n">
        <f aca="false">M11</f>
        <v>2.02564102564103</v>
      </c>
      <c r="C15" s="17" t="n">
        <f aca="false">B4</f>
        <v>45183</v>
      </c>
      <c r="D15" s="17" t="n">
        <f aca="false">B15*C15</f>
        <v>91524.5384615385</v>
      </c>
      <c r="E15" s="17" t="n">
        <f aca="false">D15-WACC!$C$20</f>
        <v>86064.5384615385</v>
      </c>
      <c r="F15" s="39" t="n">
        <f aca="false">E15/WACC!$C$16</f>
        <v>20.3944403937295</v>
      </c>
    </row>
    <row r="16" customFormat="false" ht="15" hidden="false" customHeight="false" outlineLevel="0" collapsed="false">
      <c r="A16" s="4" t="s">
        <v>91</v>
      </c>
      <c r="B16" s="35" t="n">
        <f aca="false">N11</f>
        <v>8.77777777777778</v>
      </c>
      <c r="C16" s="17" t="n">
        <f aca="false">E4</f>
        <v>29727</v>
      </c>
      <c r="D16" s="17" t="n">
        <f aca="false">B16*C16</f>
        <v>260937</v>
      </c>
      <c r="E16" s="17" t="n">
        <f aca="false">D16-WACC!$C$20</f>
        <v>255477</v>
      </c>
      <c r="F16" s="39" t="n">
        <f aca="false">E16/WACC!$C$16</f>
        <v>60.5395734597157</v>
      </c>
    </row>
    <row r="17" customFormat="false" ht="15" hidden="false" customHeight="false" outlineLevel="0" collapsed="false">
      <c r="A17" s="4" t="s">
        <v>92</v>
      </c>
      <c r="B17" s="35" t="n">
        <f aca="false">O11</f>
        <v>20.05</v>
      </c>
      <c r="C17" s="17" t="n">
        <f aca="false">C4</f>
        <v>13327</v>
      </c>
      <c r="D17" s="17" t="n">
        <f aca="false">B17*C17</f>
        <v>267206.35</v>
      </c>
      <c r="E17" s="17" t="n">
        <f aca="false">D17-WACC!$C$20</f>
        <v>261746.35</v>
      </c>
      <c r="F17" s="39" t="n">
        <f aca="false">E17/WACC!$C$16</f>
        <v>62.025201421801</v>
      </c>
    </row>
    <row r="18" customFormat="false" ht="15" hidden="false" customHeight="false" outlineLevel="0" collapsed="false">
      <c r="A18" s="4" t="s">
        <v>93</v>
      </c>
      <c r="B18" s="35" t="n">
        <f aca="false">P11</f>
        <v>21.7</v>
      </c>
      <c r="C18" s="17" t="n">
        <f aca="false">F4</f>
        <v>10981</v>
      </c>
      <c r="D18" s="40" t="s">
        <v>108</v>
      </c>
      <c r="F18" s="39" t="n">
        <f aca="false">B18*C18/WACC!$C$16</f>
        <v>56.4662796208531</v>
      </c>
    </row>
    <row r="19" customFormat="false" ht="15" hidden="false" customHeight="false" outlineLevel="0" collapsed="false">
      <c r="A19" s="18" t="s">
        <v>109</v>
      </c>
      <c r="F19" s="27" t="n">
        <f aca="false">AVERAGE(F15:F18)</f>
        <v>49.8563737240248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2026-06-21T14:37:39Z</dcterms:created>
  <dc:creator>openpyxl</dc:creator>
  <dc:description/>
  <dc:language>en-US</dc:language>
  <cp:lastModifiedBy/>
  <dcterms:modified xsi:type="dcterms:W3CDTF">2026-06-21T14:37:41Z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